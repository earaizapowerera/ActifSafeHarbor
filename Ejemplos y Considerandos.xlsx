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defaultThemeVersion="202300"/>
  <mc:AlternateContent xmlns:mc="http://schemas.openxmlformats.org/markup-compatibility/2006">
    <mc:Choice Requires="x15">
      <x15ac:absPath xmlns:x15ac="http://schemas.microsoft.com/office/spreadsheetml/2010/11/ac" url="/Users/enrique/ActifRMF/"/>
    </mc:Choice>
  </mc:AlternateContent>
  <xr:revisionPtr revIDLastSave="0" documentId="8_{450D2232-357F-F14F-9394-3BF0CC0C92A9}" xr6:coauthVersionLast="47" xr6:coauthVersionMax="47" xr10:uidLastSave="{00000000-0000-0000-0000-000000000000}"/>
  <bookViews>
    <workbookView xWindow="0" yWindow="700" windowWidth="27040" windowHeight="15820" xr2:uid="{B96889C2-13C7-4B63-A984-EA0A24DDADB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4" i="1" l="1"/>
  <c r="N24" i="1"/>
  <c r="S24" i="1"/>
  <c r="P23" i="1"/>
  <c r="P22" i="1"/>
  <c r="M23" i="1"/>
  <c r="N23" i="1" s="1"/>
  <c r="S23" i="1"/>
  <c r="S22" i="1"/>
  <c r="N22" i="1"/>
  <c r="M22" i="1"/>
  <c r="P21" i="1"/>
  <c r="V21" i="1"/>
  <c r="W21" i="1"/>
  <c r="X21" i="1"/>
  <c r="O21" i="1"/>
  <c r="S21" i="1"/>
  <c r="N21" i="1"/>
  <c r="P20" i="1"/>
  <c r="O20" i="1"/>
  <c r="W20" i="1"/>
  <c r="X20" i="1" s="1"/>
  <c r="V20" i="1"/>
  <c r="N20" i="1"/>
  <c r="S20" i="1"/>
  <c r="P19" i="1"/>
  <c r="O19" i="1"/>
  <c r="X19" i="1"/>
  <c r="W19" i="1"/>
  <c r="V19" i="1"/>
  <c r="U19" i="1"/>
  <c r="T19" i="1"/>
  <c r="S19" i="1"/>
  <c r="N19" i="1"/>
  <c r="M19" i="1"/>
  <c r="I19" i="1"/>
  <c r="P18" i="1"/>
  <c r="P17" i="1"/>
  <c r="O18" i="1"/>
  <c r="W18" i="1"/>
  <c r="X18" i="1" s="1"/>
  <c r="V18" i="1"/>
  <c r="T18" i="1"/>
  <c r="S18" i="1"/>
  <c r="S17" i="1"/>
  <c r="T17" i="1"/>
  <c r="V17" i="1" s="1"/>
  <c r="M18" i="1"/>
  <c r="I18" i="1"/>
  <c r="J18" i="1" s="1"/>
  <c r="N18" i="1" s="1"/>
  <c r="M17" i="1"/>
  <c r="W17" i="1" l="1"/>
  <c r="X17" i="1" s="1"/>
  <c r="O17" i="1" s="1"/>
  <c r="I17" i="1" l="1"/>
  <c r="J17" i="1" s="1"/>
  <c r="N17" i="1" s="1"/>
</calcChain>
</file>

<file path=xl/sharedStrings.xml><?xml version="1.0" encoding="utf-8"?>
<sst xmlns="http://schemas.openxmlformats.org/spreadsheetml/2006/main" count="77" uniqueCount="46">
  <si>
    <t>Se calcula el promedio de cada activo</t>
  </si>
  <si>
    <t>Se actualiza el saldo pendiente de deducir que se tenga en ISR (depreciacion fiscal) al inicio del ejercicio - Esto es para los activos adquiridos antes del año que estamos calculando el Safe Harbor</t>
  </si>
  <si>
    <t>Se actualiza el MOI en el caso de los activos adiquiridos en el ejercicio</t>
  </si>
  <si>
    <t>En el caso del numeral 2, el activo se actualiza con el INPC desde la fecha de adquisicion hasta el INPC del ultimo mes des la primera mitad del ejercicio (junio) por el cual se calcula el valor promedio de cada activo</t>
  </si>
  <si>
    <t>En el caso del numeral 3, el MOI se actualiza con el INPAC desde la fecha de adquisision hasta el INPC del ultimo mes de la primera mitad del ejericio (junio) por el cual se calcula el valor promedio de cada activo</t>
  </si>
  <si>
    <t>NO HAY ACTUALIZACION POR LOS ACTIVOS QUE SE ADQUIERAN con posterioridad a junio del ejercicio</t>
  </si>
  <si>
    <r>
      <t xml:space="preserve">En Safe Harbor se habla de </t>
    </r>
    <r>
      <rPr>
        <b/>
        <sz val="11"/>
        <color theme="1"/>
        <rFont val="Aptos Narrow"/>
        <family val="2"/>
        <scheme val="minor"/>
      </rPr>
      <t>ejercicios</t>
    </r>
    <r>
      <rPr>
        <sz val="11"/>
        <color theme="1"/>
        <rFont val="Aptos Narrow"/>
        <family val="2"/>
        <scheme val="minor"/>
      </rPr>
      <t>, no de periodos como se habla en la depreciacion fiscal para ISR</t>
    </r>
  </si>
  <si>
    <t>En Terrenos (solo aplicable a entidades de Mexico), el MOI se actualiza con el INPC del mes de adquisicion hasta el INPC del ultimo mes de la primera mitad del ejercicio y el resultado se divide entre 12 y el cociente se multiplica por por el numero de meses utiizado en el ejercicio</t>
  </si>
  <si>
    <t>MOI</t>
  </si>
  <si>
    <t>Fecha de Adq</t>
  </si>
  <si>
    <t>EJEMPLO - Recuerda que estamos calculando el Safe Harbor de 2025</t>
  </si>
  <si>
    <t>Tipo</t>
  </si>
  <si>
    <t>Maquina</t>
  </si>
  <si>
    <t>Meses uso al ini</t>
  </si>
  <si>
    <t>Dep Acum al inicio</t>
  </si>
  <si>
    <t>Saldo por ded ISR al ini</t>
  </si>
  <si>
    <t>CONCLUSION - En Safe Harbor todo se actualiza hasta junio del ejercicio por el cual se calcula, excepto los activos adquiridos despues de junio, los cuales no se actualizan</t>
  </si>
  <si>
    <t>Factor de actualiz</t>
  </si>
  <si>
    <t>-</t>
  </si>
  <si>
    <t>Tasa de Dep An</t>
  </si>
  <si>
    <t>Saldo actualizado</t>
  </si>
  <si>
    <t>50% de la dep fiscal</t>
  </si>
  <si>
    <t>Deprec fiscal del año</t>
  </si>
  <si>
    <t>Dep fiscal actualizada</t>
  </si>
  <si>
    <t>Valor promedio</t>
  </si>
  <si>
    <t>OBSRV</t>
  </si>
  <si>
    <t>Activo adquirido antes de 2025 usado todo el año</t>
  </si>
  <si>
    <t>Fecha de baja</t>
  </si>
  <si>
    <t>INPC de Adq</t>
  </si>
  <si>
    <r>
      <t xml:space="preserve">INPC ½ </t>
    </r>
    <r>
      <rPr>
        <b/>
        <sz val="11"/>
        <color rgb="FFFF0000"/>
        <rFont val="Aptos Narrow"/>
        <family val="2"/>
        <scheme val="minor"/>
      </rPr>
      <t>periodo</t>
    </r>
  </si>
  <si>
    <r>
      <t xml:space="preserve">INPC ½ </t>
    </r>
    <r>
      <rPr>
        <b/>
        <sz val="11"/>
        <color rgb="FFFF0000"/>
        <rFont val="Aptos Narrow"/>
        <family val="2"/>
        <scheme val="minor"/>
      </rPr>
      <t>ejercicio</t>
    </r>
  </si>
  <si>
    <t>Meses uso ejerc</t>
  </si>
  <si>
    <t>Activo adquirido antes de 2025 usado 4 meses del año</t>
  </si>
  <si>
    <t>Activo adquirido enero de 2025 usado todo el año</t>
  </si>
  <si>
    <t>Activo adquirido julio de 2025 usado 6 meses del año</t>
  </si>
  <si>
    <t>Activo adquirido julio de 2025 usado 4 meses del año</t>
  </si>
  <si>
    <t>Terreno</t>
  </si>
  <si>
    <t>Terreno adquirido antes de 2025 usado todo el año</t>
  </si>
  <si>
    <t>Terreno adquirido antes de 2025 usado 4 meses del año</t>
  </si>
  <si>
    <t>Terreno adquirido julio de 2025 usado 6 meses del año</t>
  </si>
  <si>
    <t>CALCULO DE LA DEPRECIACION PARA ISR</t>
  </si>
  <si>
    <t>SAFE HARBOR -  Factores de actualizacion y condiciones</t>
  </si>
  <si>
    <t>DEPRECIACION FISCAL (ISR) - Factores de actualizacion</t>
  </si>
  <si>
    <t>Se determina la depreciacion fiscal aplicando al MOI los % maximos autorizados en la LISR</t>
  </si>
  <si>
    <t>Esa depreciacion fiscal se actualiza con INPC desde la fecha de adquisicion hasta el INPC del ultimo mes de la primera mitad del periodo en el que se haya utilizado</t>
  </si>
  <si>
    <t>Lo cual quiere decir que no necesariamente es la mitad del ejercicio (junio) sino que es la mitad del periodo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</si>
</sst>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409]d\-mmm\-yy;@"/>
    <numFmt numFmtId="166" formatCode="_(* #,##0_);_(* \(#,##0\);_(* &quot;-&quot;??_);_(@_)"/>
    <numFmt numFmtId="167" formatCode="#,##0.0000"/>
  </numFmts>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b/>
      <sz val="11"/>
      <color rgb="FFFF0000"/>
      <name val="Aptos Narrow"/>
      <family val="2"/>
      <scheme val="minor"/>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17">
    <xf numFmtId="0" fontId="0" fillId="0" borderId="0" xfId="0"/>
    <xf numFmtId="0" fontId="0" fillId="0" borderId="0" xfId="0" applyAlignment="1">
      <alignment horizontal="center"/>
    </xf>
    <xf numFmtId="0" fontId="0" fillId="0" borderId="0" xfId="0" applyAlignment="1">
      <alignment horizontal="center" wrapText="1"/>
    </xf>
    <xf numFmtId="165" fontId="0" fillId="0" borderId="0" xfId="0" applyNumberFormat="1"/>
    <xf numFmtId="166" fontId="0" fillId="0" borderId="0" xfId="1" applyNumberFormat="1" applyFont="1"/>
    <xf numFmtId="9" fontId="0" fillId="0" borderId="0" xfId="2" applyFont="1" applyAlignment="1">
      <alignment horizontal="center"/>
    </xf>
    <xf numFmtId="166" fontId="0" fillId="0" borderId="0" xfId="0" applyNumberFormat="1"/>
    <xf numFmtId="167" fontId="0" fillId="0" borderId="0" xfId="0" applyNumberFormat="1"/>
    <xf numFmtId="39" fontId="0" fillId="0" borderId="0" xfId="0" applyNumberFormat="1"/>
    <xf numFmtId="165" fontId="0" fillId="0" borderId="0" xfId="0" applyNumberFormat="1" applyAlignment="1">
      <alignment horizontal="center"/>
    </xf>
    <xf numFmtId="37" fontId="0" fillId="0" borderId="0" xfId="0" applyNumberFormat="1"/>
    <xf numFmtId="37" fontId="0" fillId="0" borderId="0" xfId="1" applyNumberFormat="1" applyFont="1"/>
    <xf numFmtId="167" fontId="0" fillId="0" borderId="0" xfId="0" applyNumberFormat="1" applyAlignment="1">
      <alignment horizontal="center"/>
    </xf>
    <xf numFmtId="37" fontId="0" fillId="0" borderId="0" xfId="0" applyNumberFormat="1" applyAlignment="1">
      <alignment horizontal="center"/>
    </xf>
    <xf numFmtId="0" fontId="0" fillId="0" borderId="1" xfId="0" applyBorder="1" applyAlignment="1">
      <alignment horizontal="center" wrapText="1"/>
    </xf>
    <xf numFmtId="0" fontId="2" fillId="0" borderId="0" xfId="0" applyFont="1"/>
    <xf numFmtId="0" fontId="2" fillId="0" borderId="0" xfId="0" applyFont="1" applyAlignment="1">
      <alignment horizontal="center"/>
    </xf>
  </cellXfs>
  <cellStyles count="3">
    <cellStyle name="Millares" xfId="1" builtinId="3"/>
    <cellStyle name="Normal" xfId="0" builtinId="0"/>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D023B-0BB4-4C08-8207-DAB2D966F086}">
  <dimension ref="A2:AA95"/>
  <sheetViews>
    <sheetView tabSelected="1" workbookViewId="0">
      <selection activeCell="B12" sqref="B12"/>
    </sheetView>
  </sheetViews>
  <sheetFormatPr baseColWidth="10" defaultColWidth="8.83203125" defaultRowHeight="15" x14ac:dyDescent="0.2"/>
  <cols>
    <col min="1" max="1" width="3.1640625" customWidth="1"/>
    <col min="2" max="2" width="10.33203125" customWidth="1"/>
    <col min="3" max="3" width="11.1640625" bestFit="1" customWidth="1"/>
    <col min="4" max="4" width="10.1640625" customWidth="1"/>
    <col min="5" max="5" width="11.1640625" customWidth="1"/>
    <col min="9" max="9" width="10.33203125" customWidth="1"/>
    <col min="10" max="10" width="11.6640625" customWidth="1"/>
    <col min="11" max="12" width="9.5" customWidth="1"/>
    <col min="13" max="13" width="10.1640625" customWidth="1"/>
    <col min="14" max="16" width="11.6640625" customWidth="1"/>
    <col min="17" max="17" width="47.33203125" bestFit="1" customWidth="1"/>
    <col min="18" max="18" width="2.1640625" customWidth="1"/>
    <col min="19" max="24" width="11.6640625" customWidth="1"/>
  </cols>
  <sheetData>
    <row r="2" spans="1:24" x14ac:dyDescent="0.2">
      <c r="A2" s="15" t="s">
        <v>41</v>
      </c>
    </row>
    <row r="4" spans="1:24" x14ac:dyDescent="0.2">
      <c r="A4" s="1">
        <v>1</v>
      </c>
      <c r="B4" t="s">
        <v>0</v>
      </c>
    </row>
    <row r="5" spans="1:24" x14ac:dyDescent="0.2">
      <c r="A5" s="1">
        <v>2</v>
      </c>
      <c r="B5" t="s">
        <v>1</v>
      </c>
    </row>
    <row r="6" spans="1:24" x14ac:dyDescent="0.2">
      <c r="A6" s="1">
        <v>3</v>
      </c>
      <c r="B6" t="s">
        <v>2</v>
      </c>
    </row>
    <row r="7" spans="1:24" x14ac:dyDescent="0.2">
      <c r="A7" s="1">
        <v>4</v>
      </c>
      <c r="B7" t="s">
        <v>3</v>
      </c>
    </row>
    <row r="8" spans="1:24" x14ac:dyDescent="0.2">
      <c r="A8" s="1">
        <v>5</v>
      </c>
      <c r="B8" t="s">
        <v>4</v>
      </c>
    </row>
    <row r="9" spans="1:24" x14ac:dyDescent="0.2">
      <c r="A9" s="1">
        <v>6</v>
      </c>
      <c r="B9" t="s">
        <v>5</v>
      </c>
    </row>
    <row r="10" spans="1:24" x14ac:dyDescent="0.2">
      <c r="A10" s="1">
        <v>7</v>
      </c>
      <c r="B10" t="s">
        <v>6</v>
      </c>
    </row>
    <row r="11" spans="1:24" x14ac:dyDescent="0.2">
      <c r="A11" s="1">
        <v>8</v>
      </c>
      <c r="B11" t="s">
        <v>7</v>
      </c>
    </row>
    <row r="12" spans="1:24" x14ac:dyDescent="0.2">
      <c r="A12" s="1">
        <v>9</v>
      </c>
      <c r="B12" t="s">
        <v>16</v>
      </c>
    </row>
    <row r="14" spans="1:24" x14ac:dyDescent="0.2">
      <c r="A14" s="15" t="s">
        <v>10</v>
      </c>
    </row>
    <row r="15" spans="1:24" x14ac:dyDescent="0.2">
      <c r="S15" s="16" t="s">
        <v>40</v>
      </c>
      <c r="T15" s="16"/>
      <c r="U15" s="16"/>
      <c r="V15" s="16"/>
      <c r="W15" s="16"/>
    </row>
    <row r="16" spans="1:24" s="2" customFormat="1" ht="33" thickBot="1" x14ac:dyDescent="0.25">
      <c r="B16" s="14" t="s">
        <v>11</v>
      </c>
      <c r="C16" s="14" t="s">
        <v>8</v>
      </c>
      <c r="D16" s="14" t="s">
        <v>9</v>
      </c>
      <c r="E16" s="14" t="s">
        <v>27</v>
      </c>
      <c r="F16" s="14" t="s">
        <v>19</v>
      </c>
      <c r="G16" s="14" t="s">
        <v>13</v>
      </c>
      <c r="H16" s="14" t="s">
        <v>31</v>
      </c>
      <c r="I16" s="14" t="s">
        <v>14</v>
      </c>
      <c r="J16" s="14" t="s">
        <v>15</v>
      </c>
      <c r="K16" s="14" t="s">
        <v>28</v>
      </c>
      <c r="L16" s="14" t="s">
        <v>30</v>
      </c>
      <c r="M16" s="14" t="s">
        <v>17</v>
      </c>
      <c r="N16" s="14" t="s">
        <v>20</v>
      </c>
      <c r="O16" s="14" t="s">
        <v>21</v>
      </c>
      <c r="P16" s="14" t="s">
        <v>24</v>
      </c>
      <c r="Q16" s="14" t="s">
        <v>25</v>
      </c>
      <c r="R16" s="14"/>
      <c r="S16" s="14" t="s">
        <v>22</v>
      </c>
      <c r="T16" s="14" t="s">
        <v>28</v>
      </c>
      <c r="U16" s="14" t="s">
        <v>29</v>
      </c>
      <c r="V16" s="14" t="s">
        <v>17</v>
      </c>
      <c r="W16" s="14" t="s">
        <v>23</v>
      </c>
      <c r="X16" s="14" t="s">
        <v>21</v>
      </c>
    </row>
    <row r="17" spans="1:27" x14ac:dyDescent="0.2">
      <c r="B17" t="s">
        <v>12</v>
      </c>
      <c r="C17" s="4">
        <v>100000</v>
      </c>
      <c r="D17" s="9">
        <v>44562</v>
      </c>
      <c r="E17" s="9" t="s">
        <v>18</v>
      </c>
      <c r="F17" s="5">
        <v>0.08</v>
      </c>
      <c r="G17" s="1">
        <v>36</v>
      </c>
      <c r="H17" s="1">
        <v>12</v>
      </c>
      <c r="I17" s="4">
        <f>+C17*F17/12*G17</f>
        <v>24000</v>
      </c>
      <c r="J17" s="6">
        <f>+C17-I17</f>
        <v>76000</v>
      </c>
      <c r="K17" s="7">
        <v>118.002</v>
      </c>
      <c r="L17" s="7">
        <v>140.405</v>
      </c>
      <c r="M17" s="7">
        <f>TRUNC(L17/K17,4)</f>
        <v>1.1898</v>
      </c>
      <c r="N17" s="8">
        <f>+J17*M17</f>
        <v>90424.8</v>
      </c>
      <c r="O17" s="8">
        <f>+X17</f>
        <v>4759.2</v>
      </c>
      <c r="P17" s="8">
        <f>(+N17-O17)/12*H17</f>
        <v>85665.600000000006</v>
      </c>
      <c r="Q17" s="8" t="s">
        <v>26</v>
      </c>
      <c r="R17" s="8"/>
      <c r="S17" s="8">
        <f t="shared" ref="S17:S24" si="0">+C17*F17/12*H17</f>
        <v>8000</v>
      </c>
      <c r="T17" s="7">
        <f>+K17</f>
        <v>118.002</v>
      </c>
      <c r="U17" s="7">
        <v>140.405</v>
      </c>
      <c r="V17" s="7">
        <f>TRUNC(U17/T17,4)</f>
        <v>1.1898</v>
      </c>
      <c r="W17" s="8">
        <f>+S17*V17</f>
        <v>9518.4</v>
      </c>
      <c r="X17" s="8">
        <f>+W17*0.5</f>
        <v>4759.2</v>
      </c>
      <c r="Y17" s="8"/>
      <c r="Z17" s="8"/>
      <c r="AA17" s="8"/>
    </row>
    <row r="18" spans="1:27" x14ac:dyDescent="0.2">
      <c r="B18" t="s">
        <v>12</v>
      </c>
      <c r="C18" s="10">
        <v>80000</v>
      </c>
      <c r="D18" s="9">
        <v>44562</v>
      </c>
      <c r="E18" s="9">
        <v>45777</v>
      </c>
      <c r="F18" s="5">
        <v>0.08</v>
      </c>
      <c r="G18" s="1">
        <v>36</v>
      </c>
      <c r="H18" s="1">
        <v>4</v>
      </c>
      <c r="I18" s="4">
        <f>+C18*F18/12*G18</f>
        <v>19200</v>
      </c>
      <c r="J18" s="6">
        <f>+C18-I18</f>
        <v>60800</v>
      </c>
      <c r="K18" s="7">
        <v>118.002</v>
      </c>
      <c r="L18" s="7">
        <v>140.405</v>
      </c>
      <c r="M18" s="7">
        <f>TRUNC(L18/K18,4)</f>
        <v>1.1898</v>
      </c>
      <c r="N18" s="8">
        <f>+J18*M18</f>
        <v>72339.839999999997</v>
      </c>
      <c r="O18" s="8">
        <f>+X18</f>
        <v>1253.9733333333334</v>
      </c>
      <c r="P18" s="8">
        <f>(+N18-O18)/12*H18</f>
        <v>23695.288888888888</v>
      </c>
      <c r="Q18" s="8" t="s">
        <v>32</v>
      </c>
      <c r="R18" s="8"/>
      <c r="S18" s="8">
        <f t="shared" si="0"/>
        <v>2133.3333333333335</v>
      </c>
      <c r="T18" s="7">
        <f>+K18</f>
        <v>118.002</v>
      </c>
      <c r="U18" s="7">
        <v>138.726</v>
      </c>
      <c r="V18" s="7">
        <f>TRUNC(U18/T18,4)</f>
        <v>1.1756</v>
      </c>
      <c r="W18" s="8">
        <f>+S18*V18</f>
        <v>2507.9466666666667</v>
      </c>
      <c r="X18" s="8">
        <f>+W18*0.5</f>
        <v>1253.9733333333334</v>
      </c>
      <c r="Y18" s="8"/>
      <c r="Z18" s="8"/>
      <c r="AA18" s="8"/>
    </row>
    <row r="19" spans="1:27" x14ac:dyDescent="0.2">
      <c r="B19" t="s">
        <v>12</v>
      </c>
      <c r="C19" s="10">
        <v>120000</v>
      </c>
      <c r="D19" s="9">
        <v>45658</v>
      </c>
      <c r="E19" s="9" t="s">
        <v>18</v>
      </c>
      <c r="F19" s="5">
        <v>0.08</v>
      </c>
      <c r="G19" s="1">
        <v>0</v>
      </c>
      <c r="H19" s="1">
        <v>12</v>
      </c>
      <c r="I19" s="11">
        <f>+C19*F19/12*G19</f>
        <v>0</v>
      </c>
      <c r="J19" s="10">
        <v>0</v>
      </c>
      <c r="K19" s="7">
        <v>138.34299999999999</v>
      </c>
      <c r="L19" s="7">
        <v>140.405</v>
      </c>
      <c r="M19" s="7">
        <f>TRUNC(L19/K19,4)</f>
        <v>1.0148999999999999</v>
      </c>
      <c r="N19" s="8">
        <f>+C19*M19</f>
        <v>121787.99999999999</v>
      </c>
      <c r="O19" s="8">
        <f>+X19</f>
        <v>4871.5199999999995</v>
      </c>
      <c r="P19" s="8">
        <f>(+N19-O19)/12*H19</f>
        <v>116916.47999999998</v>
      </c>
      <c r="Q19" s="8" t="s">
        <v>33</v>
      </c>
      <c r="R19" s="8"/>
      <c r="S19" s="8">
        <f t="shared" si="0"/>
        <v>9600</v>
      </c>
      <c r="T19" s="7">
        <f>+K19</f>
        <v>138.34299999999999</v>
      </c>
      <c r="U19" s="7">
        <f>+L19</f>
        <v>140.405</v>
      </c>
      <c r="V19" s="7">
        <f>TRUNC(U19/T19,4)</f>
        <v>1.0148999999999999</v>
      </c>
      <c r="W19" s="8">
        <f>+S19*V19</f>
        <v>9743.0399999999991</v>
      </c>
      <c r="X19" s="8">
        <f>+W19*0.5</f>
        <v>4871.5199999999995</v>
      </c>
      <c r="Y19" s="8"/>
      <c r="Z19" s="8"/>
      <c r="AA19" s="8"/>
    </row>
    <row r="20" spans="1:27" x14ac:dyDescent="0.2">
      <c r="B20" t="s">
        <v>12</v>
      </c>
      <c r="C20" s="10">
        <v>90000</v>
      </c>
      <c r="D20" s="9">
        <v>45839</v>
      </c>
      <c r="E20" s="9" t="s">
        <v>18</v>
      </c>
      <c r="F20" s="5">
        <v>0.08</v>
      </c>
      <c r="G20" s="1">
        <v>0</v>
      </c>
      <c r="H20" s="1">
        <v>6</v>
      </c>
      <c r="I20" s="10">
        <v>0</v>
      </c>
      <c r="J20" s="10">
        <v>0</v>
      </c>
      <c r="K20" s="12" t="s">
        <v>18</v>
      </c>
      <c r="L20" s="12" t="s">
        <v>18</v>
      </c>
      <c r="M20" s="12" t="s">
        <v>18</v>
      </c>
      <c r="N20" s="8">
        <f>+C20</f>
        <v>90000</v>
      </c>
      <c r="O20" s="8">
        <f>+X20</f>
        <v>1805.2199999999998</v>
      </c>
      <c r="P20" s="8">
        <f>(+N20-O20)/12*H20</f>
        <v>44097.39</v>
      </c>
      <c r="Q20" s="8" t="s">
        <v>34</v>
      </c>
      <c r="R20" s="8"/>
      <c r="S20" s="8">
        <f t="shared" si="0"/>
        <v>3600</v>
      </c>
      <c r="T20" s="7">
        <v>140.78</v>
      </c>
      <c r="U20" s="7">
        <v>141.197</v>
      </c>
      <c r="V20" s="7">
        <f>TRUNC(U20/T20,4)</f>
        <v>1.0028999999999999</v>
      </c>
      <c r="W20" s="8">
        <f>+S20*V20</f>
        <v>3610.4399999999996</v>
      </c>
      <c r="X20" s="8">
        <f>+W20*0.5</f>
        <v>1805.2199999999998</v>
      </c>
      <c r="Y20" s="8"/>
      <c r="Z20" s="8"/>
      <c r="AA20" s="8"/>
    </row>
    <row r="21" spans="1:27" x14ac:dyDescent="0.2">
      <c r="B21" t="s">
        <v>12</v>
      </c>
      <c r="C21" s="10">
        <v>130000</v>
      </c>
      <c r="D21" s="9">
        <v>45839</v>
      </c>
      <c r="E21" s="9">
        <v>45961</v>
      </c>
      <c r="F21" s="5">
        <v>0.08</v>
      </c>
      <c r="G21" s="1">
        <v>0</v>
      </c>
      <c r="H21" s="1">
        <v>4</v>
      </c>
      <c r="I21" s="10">
        <v>0</v>
      </c>
      <c r="J21" s="10">
        <v>0</v>
      </c>
      <c r="K21" s="12" t="s">
        <v>18</v>
      </c>
      <c r="L21" s="12" t="s">
        <v>18</v>
      </c>
      <c r="M21" s="12" t="s">
        <v>18</v>
      </c>
      <c r="N21" s="8">
        <f>+C21</f>
        <v>130000</v>
      </c>
      <c r="O21" s="8">
        <f>+X21</f>
        <v>1734.3733333333332</v>
      </c>
      <c r="P21" s="8">
        <f>(+N21-O21)/12*H21</f>
        <v>42755.20888888889</v>
      </c>
      <c r="Q21" s="8" t="s">
        <v>35</v>
      </c>
      <c r="R21" s="8"/>
      <c r="S21" s="8">
        <f t="shared" si="0"/>
        <v>3466.6666666666665</v>
      </c>
      <c r="T21" s="7">
        <v>140.78</v>
      </c>
      <c r="U21" s="7">
        <v>140.86699999999999</v>
      </c>
      <c r="V21" s="7">
        <f>TRUNC(U21/T21,4)</f>
        <v>1.0005999999999999</v>
      </c>
      <c r="W21" s="8">
        <f>+S21*V21</f>
        <v>3468.7466666666664</v>
      </c>
      <c r="X21" s="8">
        <f>+W21*0.5</f>
        <v>1734.3733333333332</v>
      </c>
      <c r="Y21" s="8"/>
      <c r="Z21" s="8"/>
      <c r="AA21" s="8"/>
    </row>
    <row r="22" spans="1:27" x14ac:dyDescent="0.2">
      <c r="B22" t="s">
        <v>36</v>
      </c>
      <c r="C22" s="10">
        <v>200000</v>
      </c>
      <c r="D22" s="9">
        <v>44562</v>
      </c>
      <c r="E22" s="9" t="s">
        <v>18</v>
      </c>
      <c r="F22" s="5">
        <v>0</v>
      </c>
      <c r="G22" s="1" t="s">
        <v>18</v>
      </c>
      <c r="H22" s="1">
        <v>12</v>
      </c>
      <c r="I22" s="13" t="s">
        <v>18</v>
      </c>
      <c r="J22" s="13" t="s">
        <v>18</v>
      </c>
      <c r="K22" s="7">
        <v>118.002</v>
      </c>
      <c r="L22" s="7">
        <v>140.405</v>
      </c>
      <c r="M22" s="7">
        <f>TRUNC(L22/K22,4)</f>
        <v>1.1898</v>
      </c>
      <c r="N22" s="8">
        <f>+C22*M22</f>
        <v>237960</v>
      </c>
      <c r="O22" s="8">
        <v>0</v>
      </c>
      <c r="P22" s="8">
        <f>+N22/12*H22</f>
        <v>237960</v>
      </c>
      <c r="Q22" s="8" t="s">
        <v>37</v>
      </c>
      <c r="R22" s="8"/>
      <c r="S22" s="8">
        <f t="shared" si="0"/>
        <v>0</v>
      </c>
      <c r="T22" s="7"/>
      <c r="U22" s="7"/>
      <c r="V22" s="7"/>
      <c r="W22" s="8"/>
      <c r="X22" s="8"/>
      <c r="Y22" s="8"/>
      <c r="Z22" s="8"/>
      <c r="AA22" s="8"/>
    </row>
    <row r="23" spans="1:27" x14ac:dyDescent="0.2">
      <c r="B23" t="s">
        <v>36</v>
      </c>
      <c r="C23" s="10">
        <v>250000</v>
      </c>
      <c r="D23" s="9">
        <v>44562</v>
      </c>
      <c r="E23" s="9">
        <v>45777</v>
      </c>
      <c r="F23" s="5">
        <v>0</v>
      </c>
      <c r="G23" s="1" t="s">
        <v>18</v>
      </c>
      <c r="H23" s="1">
        <v>4</v>
      </c>
      <c r="I23" s="13" t="s">
        <v>18</v>
      </c>
      <c r="J23" s="13" t="s">
        <v>18</v>
      </c>
      <c r="K23" s="7">
        <v>118.002</v>
      </c>
      <c r="L23" s="7">
        <v>140.405</v>
      </c>
      <c r="M23" s="7">
        <f>TRUNC(L23/K23,4)</f>
        <v>1.1898</v>
      </c>
      <c r="N23" s="8">
        <f>+C23*M23</f>
        <v>297450</v>
      </c>
      <c r="O23" s="8">
        <v>0</v>
      </c>
      <c r="P23" s="8">
        <f>+N23/12*H23</f>
        <v>99150</v>
      </c>
      <c r="Q23" s="8" t="s">
        <v>38</v>
      </c>
      <c r="R23" s="8"/>
      <c r="S23" s="8">
        <f t="shared" si="0"/>
        <v>0</v>
      </c>
      <c r="T23" s="7"/>
      <c r="U23" s="7"/>
      <c r="V23" s="7"/>
      <c r="W23" s="8"/>
      <c r="X23" s="8"/>
      <c r="Y23" s="8"/>
      <c r="Z23" s="8"/>
      <c r="AA23" s="8"/>
    </row>
    <row r="24" spans="1:27" x14ac:dyDescent="0.2">
      <c r="B24" t="s">
        <v>36</v>
      </c>
      <c r="C24" s="10">
        <v>150000</v>
      </c>
      <c r="D24" s="9">
        <v>45839</v>
      </c>
      <c r="E24" s="9" t="s">
        <v>18</v>
      </c>
      <c r="F24" s="5">
        <v>0</v>
      </c>
      <c r="G24" s="1" t="s">
        <v>18</v>
      </c>
      <c r="H24" s="1">
        <v>6</v>
      </c>
      <c r="I24" s="13" t="s">
        <v>18</v>
      </c>
      <c r="J24" s="13" t="s">
        <v>18</v>
      </c>
      <c r="K24" s="7" t="s">
        <v>18</v>
      </c>
      <c r="L24" s="7" t="s">
        <v>18</v>
      </c>
      <c r="M24" s="7" t="s">
        <v>18</v>
      </c>
      <c r="N24" s="8">
        <f>+C24</f>
        <v>150000</v>
      </c>
      <c r="O24" s="8">
        <v>0</v>
      </c>
      <c r="P24" s="8">
        <f>+N24/12*H24</f>
        <v>75000</v>
      </c>
      <c r="Q24" s="8" t="s">
        <v>39</v>
      </c>
      <c r="R24" s="8"/>
      <c r="S24" s="8">
        <f t="shared" si="0"/>
        <v>0</v>
      </c>
      <c r="T24" s="7"/>
      <c r="U24" s="7"/>
      <c r="V24" s="7"/>
      <c r="W24" s="8"/>
      <c r="X24" s="8"/>
      <c r="Y24" s="8"/>
      <c r="Z24" s="8"/>
      <c r="AA24" s="8"/>
    </row>
    <row r="25" spans="1:27" x14ac:dyDescent="0.2">
      <c r="C25" s="10"/>
      <c r="D25" s="9"/>
      <c r="E25" s="9"/>
      <c r="G25" s="1"/>
      <c r="H25" s="1"/>
      <c r="I25" s="10"/>
      <c r="J25" s="10"/>
      <c r="K25" s="7"/>
      <c r="L25" s="7"/>
      <c r="M25" s="7"/>
      <c r="N25" s="8"/>
      <c r="O25" s="8"/>
      <c r="P25" s="8"/>
      <c r="Q25" s="8"/>
      <c r="R25" s="8"/>
      <c r="S25" s="8"/>
      <c r="T25" s="7"/>
      <c r="U25" s="7"/>
      <c r="V25" s="7"/>
      <c r="W25" s="8"/>
      <c r="X25" s="8"/>
      <c r="Y25" s="8"/>
      <c r="Z25" s="8"/>
      <c r="AA25" s="8"/>
    </row>
    <row r="26" spans="1:27" x14ac:dyDescent="0.2">
      <c r="C26" s="10"/>
      <c r="D26" s="9"/>
      <c r="E26" s="9"/>
      <c r="G26" s="1"/>
      <c r="H26" s="1"/>
      <c r="I26" s="10"/>
      <c r="J26" s="10"/>
      <c r="K26" s="7"/>
      <c r="L26" s="7"/>
      <c r="M26" s="7"/>
      <c r="N26" s="8"/>
      <c r="O26" s="8"/>
      <c r="P26" s="8"/>
      <c r="Q26" s="8"/>
      <c r="R26" s="8"/>
      <c r="S26" s="8"/>
      <c r="T26" s="7"/>
      <c r="U26" s="7"/>
      <c r="V26" s="7"/>
      <c r="W26" s="8"/>
      <c r="X26" s="8"/>
      <c r="Y26" s="8"/>
      <c r="Z26" s="8"/>
      <c r="AA26" s="8"/>
    </row>
    <row r="27" spans="1:27" x14ac:dyDescent="0.2">
      <c r="C27" s="10"/>
      <c r="D27" s="9"/>
      <c r="E27" s="9"/>
      <c r="G27" s="1"/>
      <c r="H27" s="1"/>
      <c r="I27" s="10"/>
      <c r="J27" s="10"/>
      <c r="K27" s="7"/>
      <c r="L27" s="7"/>
      <c r="M27" s="7"/>
      <c r="N27" s="8"/>
      <c r="O27" s="8"/>
      <c r="P27" s="8"/>
      <c r="Q27" s="8"/>
      <c r="R27" s="8"/>
      <c r="S27" s="8"/>
      <c r="T27" s="7"/>
      <c r="U27" s="7"/>
      <c r="V27" s="7"/>
      <c r="W27" s="8"/>
      <c r="X27" s="8"/>
      <c r="Y27" s="8"/>
      <c r="Z27" s="8"/>
      <c r="AA27" s="8"/>
    </row>
    <row r="28" spans="1:27" x14ac:dyDescent="0.2">
      <c r="C28" s="10"/>
      <c r="D28" s="9"/>
      <c r="E28" s="9"/>
      <c r="G28" s="1"/>
      <c r="H28" s="1"/>
      <c r="I28" s="10"/>
      <c r="J28" s="10"/>
      <c r="K28" s="7"/>
      <c r="L28" s="7"/>
      <c r="M28" s="7"/>
      <c r="N28" s="8"/>
      <c r="O28" s="8"/>
      <c r="P28" s="8"/>
      <c r="Q28" s="8"/>
      <c r="R28" s="8"/>
      <c r="S28" s="8"/>
      <c r="T28" s="7"/>
      <c r="U28" s="7"/>
      <c r="V28" s="7"/>
      <c r="W28" s="8"/>
      <c r="X28" s="8"/>
      <c r="Y28" s="8"/>
      <c r="Z28" s="8"/>
      <c r="AA28" s="8"/>
    </row>
    <row r="29" spans="1:27" x14ac:dyDescent="0.2">
      <c r="A29" s="15" t="s">
        <v>42</v>
      </c>
      <c r="C29" s="10"/>
      <c r="D29" s="9"/>
      <c r="E29" s="9"/>
      <c r="G29" s="1"/>
      <c r="H29" s="1"/>
      <c r="I29" s="10"/>
      <c r="J29" s="10"/>
      <c r="K29" s="7"/>
      <c r="L29" s="7"/>
      <c r="M29" s="7"/>
      <c r="N29" s="8"/>
      <c r="O29" s="8"/>
      <c r="P29" s="8"/>
      <c r="Q29" s="8"/>
      <c r="R29" s="8"/>
      <c r="S29" s="8"/>
      <c r="T29" s="7"/>
      <c r="U29" s="7"/>
      <c r="V29" s="7"/>
      <c r="W29" s="8"/>
      <c r="X29" s="8"/>
      <c r="Y29" s="8"/>
      <c r="Z29" s="8"/>
      <c r="AA29" s="8"/>
    </row>
    <row r="30" spans="1:27" x14ac:dyDescent="0.2">
      <c r="C30" s="10"/>
      <c r="D30" s="9"/>
      <c r="E30" s="9"/>
      <c r="G30" s="1"/>
      <c r="H30" s="1"/>
      <c r="I30" s="10"/>
      <c r="J30" s="10"/>
      <c r="K30" s="7"/>
      <c r="L30" s="7"/>
      <c r="M30" s="7"/>
      <c r="N30" s="8"/>
      <c r="O30" s="8"/>
      <c r="P30" s="8"/>
      <c r="Q30" s="8"/>
      <c r="R30" s="8"/>
      <c r="S30" s="8"/>
      <c r="T30" s="7"/>
      <c r="U30" s="7"/>
      <c r="V30" s="7"/>
      <c r="W30" s="8"/>
      <c r="X30" s="8"/>
      <c r="Y30" s="8"/>
      <c r="Z30" s="8"/>
      <c r="AA30" s="8"/>
    </row>
    <row r="31" spans="1:27" x14ac:dyDescent="0.2">
      <c r="A31" s="1">
        <v>1</v>
      </c>
      <c r="B31" t="s">
        <v>43</v>
      </c>
      <c r="C31" s="10"/>
      <c r="D31" s="9"/>
      <c r="E31" s="9"/>
      <c r="G31" s="1"/>
      <c r="H31" s="1"/>
      <c r="I31" s="10"/>
      <c r="J31" s="10"/>
      <c r="K31" s="7"/>
      <c r="L31" s="7"/>
      <c r="M31" s="7"/>
      <c r="N31" s="8"/>
      <c r="O31" s="8"/>
      <c r="P31" s="8"/>
      <c r="Q31" s="8"/>
      <c r="R31" s="8"/>
      <c r="S31" s="8"/>
      <c r="T31" s="7"/>
      <c r="U31" s="7"/>
      <c r="V31" s="7"/>
      <c r="W31" s="8"/>
      <c r="X31" s="8"/>
      <c r="Y31" s="8"/>
      <c r="Z31" s="8"/>
      <c r="AA31" s="8"/>
    </row>
    <row r="32" spans="1:27" x14ac:dyDescent="0.2">
      <c r="A32" s="1">
        <v>2</v>
      </c>
      <c r="B32" t="s">
        <v>44</v>
      </c>
      <c r="C32" s="10"/>
      <c r="D32" s="9"/>
      <c r="E32" s="9"/>
      <c r="G32" s="1"/>
      <c r="H32" s="1"/>
      <c r="I32" s="10"/>
      <c r="J32" s="10"/>
      <c r="K32" s="7"/>
      <c r="L32" s="7"/>
      <c r="M32" s="7"/>
      <c r="N32" s="8"/>
      <c r="O32" s="8"/>
      <c r="P32" s="8"/>
      <c r="Q32" s="8"/>
      <c r="R32" s="8"/>
      <c r="S32" s="8"/>
      <c r="T32" s="7"/>
      <c r="U32" s="7"/>
      <c r="V32" s="7"/>
      <c r="W32" s="8"/>
      <c r="X32" s="8"/>
      <c r="Y32" s="8"/>
      <c r="Z32" s="8"/>
      <c r="AA32" s="8"/>
    </row>
    <row r="33" spans="1:27" x14ac:dyDescent="0.2">
      <c r="A33" s="1">
        <v>3</v>
      </c>
      <c r="B33" t="s">
        <v>45</v>
      </c>
      <c r="C33" s="10"/>
      <c r="D33" s="9"/>
      <c r="E33" s="9"/>
      <c r="G33" s="1"/>
      <c r="H33" s="1"/>
      <c r="I33" s="10"/>
      <c r="J33" s="10"/>
      <c r="K33" s="7"/>
      <c r="L33" s="7"/>
      <c r="M33" s="7"/>
      <c r="N33" s="8"/>
      <c r="O33" s="8"/>
      <c r="P33" s="8"/>
      <c r="Q33" s="8"/>
      <c r="R33" s="8"/>
      <c r="S33" s="8"/>
      <c r="T33" s="7"/>
      <c r="U33" s="7"/>
      <c r="V33" s="7"/>
      <c r="W33" s="8"/>
      <c r="X33" s="8"/>
      <c r="Y33" s="8"/>
      <c r="Z33" s="8"/>
      <c r="AA33" s="8"/>
    </row>
    <row r="34" spans="1:27" x14ac:dyDescent="0.2">
      <c r="A34" s="1"/>
      <c r="C34" s="10"/>
      <c r="D34" s="9"/>
      <c r="E34" s="9"/>
      <c r="G34" s="1"/>
      <c r="H34" s="1"/>
      <c r="I34" s="10"/>
      <c r="J34" s="10"/>
      <c r="K34" s="7"/>
      <c r="L34" s="7"/>
      <c r="M34" s="7"/>
      <c r="N34" s="8"/>
      <c r="O34" s="8"/>
      <c r="P34" s="8"/>
      <c r="Q34" s="8"/>
      <c r="R34" s="8"/>
      <c r="S34" s="8"/>
      <c r="T34" s="7"/>
      <c r="U34" s="7"/>
      <c r="V34" s="7"/>
      <c r="W34" s="8"/>
      <c r="X34" s="8"/>
      <c r="Y34" s="8"/>
      <c r="Z34" s="8"/>
      <c r="AA34" s="8"/>
    </row>
    <row r="35" spans="1:27" x14ac:dyDescent="0.2">
      <c r="C35" s="10"/>
      <c r="D35" s="9"/>
      <c r="E35" s="9"/>
      <c r="G35" s="1"/>
      <c r="H35" s="1"/>
      <c r="I35" s="10"/>
      <c r="J35" s="10"/>
      <c r="K35" s="7"/>
      <c r="L35" s="7"/>
      <c r="M35" s="7"/>
      <c r="N35" s="8"/>
      <c r="O35" s="8"/>
      <c r="P35" s="8"/>
      <c r="Q35" s="8"/>
      <c r="R35" s="8"/>
      <c r="S35" s="8"/>
      <c r="T35" s="7"/>
      <c r="U35" s="7"/>
      <c r="V35" s="7"/>
      <c r="W35" s="8"/>
      <c r="X35" s="8"/>
      <c r="Y35" s="8"/>
      <c r="Z35" s="8"/>
      <c r="AA35" s="8"/>
    </row>
    <row r="36" spans="1:27" x14ac:dyDescent="0.2">
      <c r="C36" s="10"/>
      <c r="D36" s="9"/>
      <c r="E36" s="9"/>
      <c r="G36" s="1"/>
      <c r="H36" s="1"/>
      <c r="I36" s="10"/>
      <c r="J36" s="10"/>
      <c r="K36" s="7"/>
      <c r="L36" s="7"/>
      <c r="M36" s="7"/>
      <c r="N36" s="8"/>
      <c r="O36" s="8"/>
      <c r="P36" s="8"/>
      <c r="Q36" s="8"/>
      <c r="R36" s="8"/>
      <c r="S36" s="8"/>
      <c r="T36" s="7"/>
      <c r="U36" s="7"/>
      <c r="V36" s="7"/>
      <c r="W36" s="8"/>
      <c r="X36" s="8"/>
      <c r="Y36" s="8"/>
      <c r="Z36" s="8"/>
      <c r="AA36" s="8"/>
    </row>
    <row r="37" spans="1:27" x14ac:dyDescent="0.2">
      <c r="C37" s="10"/>
      <c r="D37" s="3"/>
      <c r="E37" s="3"/>
      <c r="G37" s="1"/>
      <c r="H37" s="1"/>
      <c r="I37" s="10"/>
      <c r="J37" s="10"/>
      <c r="K37" s="7"/>
      <c r="L37" s="7"/>
      <c r="M37" s="7"/>
      <c r="N37" s="8"/>
      <c r="O37" s="8"/>
      <c r="P37" s="8"/>
      <c r="Q37" s="8"/>
      <c r="R37" s="8"/>
      <c r="S37" s="8"/>
      <c r="T37" s="7"/>
      <c r="U37" s="7"/>
      <c r="V37" s="7"/>
      <c r="W37" s="8"/>
      <c r="X37" s="8"/>
      <c r="Y37" s="8"/>
      <c r="Z37" s="8"/>
      <c r="AA37" s="8"/>
    </row>
    <row r="38" spans="1:27" x14ac:dyDescent="0.2">
      <c r="C38" s="10"/>
      <c r="E38" s="3"/>
      <c r="G38" s="1"/>
      <c r="H38" s="1"/>
      <c r="I38" s="10"/>
      <c r="J38" s="10"/>
      <c r="K38" s="7"/>
      <c r="L38" s="7"/>
      <c r="M38" s="7"/>
      <c r="N38" s="8"/>
      <c r="O38" s="8"/>
      <c r="P38" s="8"/>
      <c r="Q38" s="8"/>
      <c r="R38" s="8"/>
      <c r="S38" s="8"/>
      <c r="T38" s="7"/>
      <c r="U38" s="7"/>
      <c r="V38" s="7"/>
      <c r="W38" s="8"/>
      <c r="X38" s="8"/>
      <c r="Y38" s="8"/>
      <c r="Z38" s="8"/>
      <c r="AA38" s="8"/>
    </row>
    <row r="39" spans="1:27" x14ac:dyDescent="0.2">
      <c r="C39" s="10"/>
      <c r="E39" s="3"/>
      <c r="G39" s="1"/>
      <c r="H39" s="1"/>
      <c r="I39" s="10"/>
      <c r="J39" s="10"/>
      <c r="K39" s="7"/>
      <c r="L39" s="7"/>
      <c r="M39" s="7"/>
      <c r="N39" s="8"/>
      <c r="O39" s="8"/>
      <c r="P39" s="8"/>
      <c r="Q39" s="8"/>
      <c r="R39" s="8"/>
      <c r="S39" s="8"/>
      <c r="T39" s="7"/>
      <c r="U39" s="7"/>
      <c r="V39" s="7"/>
      <c r="W39" s="8"/>
      <c r="X39" s="8"/>
      <c r="Y39" s="8"/>
      <c r="Z39" s="8"/>
      <c r="AA39" s="8"/>
    </row>
    <row r="40" spans="1:27" x14ac:dyDescent="0.2">
      <c r="C40" s="10"/>
      <c r="E40" s="3"/>
      <c r="G40" s="1"/>
      <c r="H40" s="1"/>
      <c r="I40" s="10"/>
      <c r="J40" s="10"/>
      <c r="K40" s="7"/>
      <c r="L40" s="7"/>
      <c r="M40" s="7"/>
      <c r="N40" s="8"/>
      <c r="O40" s="8"/>
      <c r="P40" s="8"/>
      <c r="Q40" s="8"/>
      <c r="R40" s="8"/>
      <c r="S40" s="8"/>
      <c r="T40" s="7"/>
      <c r="U40" s="7"/>
      <c r="V40" s="7"/>
      <c r="W40" s="8"/>
      <c r="X40" s="8"/>
      <c r="Y40" s="8"/>
      <c r="Z40" s="8"/>
      <c r="AA40" s="8"/>
    </row>
    <row r="41" spans="1:27" x14ac:dyDescent="0.2">
      <c r="E41" s="3"/>
      <c r="G41" s="1"/>
      <c r="H41" s="1"/>
      <c r="I41" s="10"/>
      <c r="J41" s="10"/>
      <c r="K41" s="7"/>
      <c r="L41" s="7"/>
      <c r="M41" s="7"/>
      <c r="N41" s="8"/>
      <c r="O41" s="8"/>
      <c r="P41" s="8"/>
      <c r="Q41" s="8"/>
      <c r="R41" s="8"/>
      <c r="S41" s="8"/>
      <c r="T41" s="7"/>
      <c r="U41" s="7"/>
      <c r="V41" s="7"/>
      <c r="W41" s="8"/>
      <c r="X41" s="8"/>
      <c r="Y41" s="8"/>
      <c r="Z41" s="8"/>
      <c r="AA41" s="8"/>
    </row>
    <row r="42" spans="1:27" x14ac:dyDescent="0.2">
      <c r="E42" s="3"/>
      <c r="G42" s="1"/>
      <c r="H42" s="1"/>
      <c r="I42" s="10"/>
      <c r="J42" s="10"/>
      <c r="K42" s="7"/>
      <c r="L42" s="7"/>
      <c r="M42" s="7"/>
      <c r="N42" s="8"/>
      <c r="O42" s="8"/>
      <c r="P42" s="8"/>
      <c r="Q42" s="8"/>
      <c r="R42" s="8"/>
      <c r="S42" s="8"/>
      <c r="T42" s="7"/>
      <c r="U42" s="7"/>
      <c r="V42" s="7"/>
      <c r="W42" s="8"/>
      <c r="X42" s="8"/>
      <c r="Y42" s="8"/>
      <c r="Z42" s="8"/>
      <c r="AA42" s="8"/>
    </row>
    <row r="43" spans="1:27" x14ac:dyDescent="0.2">
      <c r="E43" s="3"/>
      <c r="G43" s="1"/>
      <c r="H43" s="1"/>
      <c r="I43" s="10"/>
      <c r="J43" s="10"/>
      <c r="K43" s="7"/>
      <c r="L43" s="7"/>
      <c r="M43" s="7"/>
      <c r="N43" s="8"/>
      <c r="O43" s="8"/>
      <c r="P43" s="8"/>
      <c r="Q43" s="8"/>
      <c r="R43" s="8"/>
      <c r="S43" s="8"/>
      <c r="T43" s="7"/>
      <c r="U43" s="7"/>
      <c r="V43" s="7"/>
      <c r="W43" s="8"/>
      <c r="X43" s="8"/>
      <c r="Y43" s="8"/>
      <c r="Z43" s="8"/>
      <c r="AA43" s="8"/>
    </row>
    <row r="44" spans="1:27" x14ac:dyDescent="0.2">
      <c r="E44" s="3"/>
      <c r="G44" s="1"/>
      <c r="H44" s="1"/>
      <c r="I44" s="10"/>
      <c r="J44" s="10"/>
      <c r="K44" s="7"/>
      <c r="L44" s="7"/>
      <c r="M44" s="7"/>
      <c r="N44" s="8"/>
      <c r="O44" s="8"/>
      <c r="P44" s="8"/>
      <c r="Q44" s="8"/>
      <c r="R44" s="8"/>
      <c r="S44" s="8"/>
      <c r="T44" s="7"/>
      <c r="U44" s="7"/>
      <c r="V44" s="7"/>
      <c r="W44" s="8"/>
      <c r="X44" s="8"/>
      <c r="Y44" s="8"/>
      <c r="Z44" s="8"/>
      <c r="AA44" s="8"/>
    </row>
    <row r="45" spans="1:27" x14ac:dyDescent="0.2">
      <c r="E45" s="3"/>
      <c r="G45" s="1"/>
      <c r="H45" s="1"/>
      <c r="I45" s="10"/>
      <c r="J45" s="10"/>
      <c r="K45" s="7"/>
      <c r="L45" s="7"/>
      <c r="M45" s="7"/>
      <c r="N45" s="8"/>
      <c r="O45" s="8"/>
      <c r="P45" s="8"/>
      <c r="Q45" s="8"/>
      <c r="R45" s="8"/>
      <c r="S45" s="8"/>
      <c r="T45" s="7"/>
      <c r="U45" s="7"/>
      <c r="V45" s="7"/>
      <c r="W45" s="8"/>
      <c r="X45" s="8"/>
      <c r="Y45" s="8"/>
      <c r="Z45" s="8"/>
      <c r="AA45" s="8"/>
    </row>
    <row r="46" spans="1:27" x14ac:dyDescent="0.2">
      <c r="E46" s="3"/>
      <c r="G46" s="1"/>
      <c r="H46" s="1"/>
      <c r="I46" s="10"/>
      <c r="J46" s="10"/>
      <c r="K46" s="7"/>
      <c r="L46" s="7"/>
      <c r="M46" s="7"/>
      <c r="N46" s="8"/>
      <c r="O46" s="8"/>
      <c r="P46" s="8"/>
      <c r="Q46" s="8"/>
      <c r="R46" s="8"/>
      <c r="S46" s="8"/>
      <c r="T46" s="7"/>
      <c r="U46" s="7"/>
      <c r="V46" s="7"/>
      <c r="W46" s="8"/>
      <c r="X46" s="8"/>
      <c r="Y46" s="8"/>
      <c r="Z46" s="8"/>
      <c r="AA46" s="8"/>
    </row>
    <row r="47" spans="1:27" x14ac:dyDescent="0.2">
      <c r="E47" s="3"/>
      <c r="G47" s="1"/>
      <c r="H47" s="1"/>
      <c r="I47" s="10"/>
      <c r="J47" s="10"/>
      <c r="K47" s="7"/>
      <c r="L47" s="7"/>
      <c r="M47" s="7"/>
      <c r="N47" s="8"/>
      <c r="O47" s="8"/>
      <c r="P47" s="8"/>
      <c r="Q47" s="8"/>
      <c r="R47" s="8"/>
      <c r="S47" s="8"/>
      <c r="T47" s="7"/>
      <c r="U47" s="7"/>
      <c r="V47" s="7"/>
      <c r="W47" s="8"/>
      <c r="X47" s="8"/>
      <c r="Y47" s="8"/>
      <c r="Z47" s="8"/>
      <c r="AA47" s="8"/>
    </row>
    <row r="48" spans="1:27" x14ac:dyDescent="0.2">
      <c r="E48" s="3"/>
      <c r="G48" s="1"/>
      <c r="H48" s="1"/>
      <c r="I48" s="10"/>
      <c r="J48" s="10"/>
      <c r="K48" s="7"/>
      <c r="L48" s="7"/>
      <c r="M48" s="7"/>
      <c r="N48" s="8"/>
      <c r="O48" s="8"/>
      <c r="P48" s="8"/>
      <c r="Q48" s="8"/>
      <c r="R48" s="8"/>
      <c r="S48" s="8"/>
      <c r="T48" s="7"/>
      <c r="U48" s="7"/>
      <c r="V48" s="7"/>
      <c r="W48" s="8"/>
      <c r="X48" s="8"/>
      <c r="Y48" s="8"/>
      <c r="Z48" s="8"/>
      <c r="AA48" s="8"/>
    </row>
    <row r="49" spans="5:27" x14ac:dyDescent="0.2">
      <c r="E49" s="3"/>
      <c r="G49" s="1"/>
      <c r="H49" s="1"/>
      <c r="I49" s="10"/>
      <c r="J49" s="10"/>
      <c r="K49" s="7"/>
      <c r="L49" s="7"/>
      <c r="M49" s="7"/>
      <c r="N49" s="8"/>
      <c r="O49" s="8"/>
      <c r="P49" s="8"/>
      <c r="Q49" s="8"/>
      <c r="R49" s="8"/>
      <c r="S49" s="8"/>
      <c r="T49" s="7"/>
      <c r="U49" s="7"/>
      <c r="V49" s="7"/>
      <c r="W49" s="8"/>
      <c r="X49" s="8"/>
      <c r="Y49" s="8"/>
      <c r="Z49" s="8"/>
      <c r="AA49" s="8"/>
    </row>
    <row r="50" spans="5:27" x14ac:dyDescent="0.2">
      <c r="E50" s="3"/>
      <c r="G50" s="1"/>
      <c r="H50" s="1"/>
      <c r="I50" s="10"/>
      <c r="J50" s="10"/>
      <c r="K50" s="7"/>
      <c r="L50" s="7"/>
      <c r="M50" s="7"/>
      <c r="N50" s="8"/>
      <c r="O50" s="8"/>
      <c r="P50" s="8"/>
      <c r="Q50" s="8"/>
      <c r="R50" s="8"/>
      <c r="S50" s="8"/>
      <c r="T50" s="7"/>
      <c r="U50" s="7"/>
      <c r="V50" s="7"/>
      <c r="W50" s="8"/>
      <c r="X50" s="8"/>
      <c r="Y50" s="8"/>
      <c r="Z50" s="8"/>
      <c r="AA50" s="8"/>
    </row>
    <row r="51" spans="5:27" x14ac:dyDescent="0.2">
      <c r="E51" s="3"/>
      <c r="G51" s="1"/>
      <c r="H51" s="1"/>
      <c r="I51" s="10"/>
      <c r="J51" s="10"/>
      <c r="K51" s="7"/>
      <c r="L51" s="7"/>
      <c r="M51" s="7"/>
      <c r="N51" s="8"/>
      <c r="O51" s="8"/>
      <c r="P51" s="8"/>
      <c r="Q51" s="8"/>
      <c r="R51" s="8"/>
      <c r="S51" s="8"/>
      <c r="T51" s="7"/>
      <c r="U51" s="7"/>
      <c r="V51" s="7"/>
      <c r="W51" s="8"/>
      <c r="X51" s="8"/>
      <c r="Y51" s="8"/>
      <c r="Z51" s="8"/>
      <c r="AA51" s="8"/>
    </row>
    <row r="52" spans="5:27" x14ac:dyDescent="0.2">
      <c r="E52" s="3"/>
      <c r="G52" s="1"/>
      <c r="H52" s="1"/>
      <c r="I52" s="10"/>
      <c r="J52" s="10"/>
      <c r="K52" s="7"/>
      <c r="L52" s="7"/>
      <c r="M52" s="7"/>
      <c r="N52" s="8"/>
      <c r="O52" s="8"/>
      <c r="P52" s="8"/>
      <c r="Q52" s="8"/>
      <c r="R52" s="8"/>
      <c r="S52" s="8"/>
      <c r="T52" s="7"/>
      <c r="U52" s="7"/>
      <c r="V52" s="7"/>
      <c r="W52" s="8"/>
      <c r="X52" s="8"/>
      <c r="Y52" s="8"/>
      <c r="Z52" s="8"/>
      <c r="AA52" s="8"/>
    </row>
    <row r="53" spans="5:27" x14ac:dyDescent="0.2">
      <c r="E53" s="3"/>
      <c r="G53" s="1"/>
      <c r="H53" s="1"/>
      <c r="I53" s="10"/>
      <c r="J53" s="10"/>
      <c r="K53" s="7"/>
      <c r="L53" s="7"/>
      <c r="M53" s="7"/>
      <c r="N53" s="8"/>
      <c r="O53" s="8"/>
      <c r="P53" s="8"/>
      <c r="Q53" s="8"/>
      <c r="R53" s="8"/>
      <c r="S53" s="8"/>
      <c r="T53" s="7"/>
      <c r="U53" s="7"/>
      <c r="V53" s="7"/>
      <c r="W53" s="8"/>
      <c r="X53" s="8"/>
      <c r="Y53" s="8"/>
      <c r="Z53" s="8"/>
      <c r="AA53" s="8"/>
    </row>
    <row r="54" spans="5:27" x14ac:dyDescent="0.2">
      <c r="E54" s="3"/>
      <c r="G54" s="1"/>
      <c r="H54" s="1"/>
      <c r="I54" s="10"/>
      <c r="J54" s="10"/>
      <c r="K54" s="7"/>
      <c r="L54" s="7"/>
      <c r="M54" s="7"/>
      <c r="N54" s="8"/>
      <c r="O54" s="8"/>
      <c r="P54" s="8"/>
      <c r="Q54" s="8"/>
      <c r="R54" s="8"/>
      <c r="S54" s="8"/>
      <c r="T54" s="7"/>
      <c r="U54" s="7"/>
      <c r="V54" s="7"/>
      <c r="W54" s="8"/>
      <c r="X54" s="8"/>
      <c r="Y54" s="8"/>
      <c r="Z54" s="8"/>
      <c r="AA54" s="8"/>
    </row>
    <row r="55" spans="5:27" x14ac:dyDescent="0.2">
      <c r="E55" s="3"/>
      <c r="G55" s="1"/>
      <c r="H55" s="1"/>
      <c r="I55" s="10"/>
      <c r="J55" s="10"/>
      <c r="K55" s="7"/>
      <c r="L55" s="7"/>
      <c r="M55" s="7"/>
      <c r="N55" s="8"/>
      <c r="O55" s="8"/>
      <c r="P55" s="8"/>
      <c r="Q55" s="8"/>
      <c r="R55" s="8"/>
      <c r="S55" s="8"/>
      <c r="T55" s="7"/>
      <c r="U55" s="7"/>
      <c r="V55" s="7"/>
      <c r="W55" s="8"/>
      <c r="X55" s="8"/>
      <c r="Y55" s="8"/>
      <c r="Z55" s="8"/>
      <c r="AA55" s="8"/>
    </row>
    <row r="56" spans="5:27" x14ac:dyDescent="0.2">
      <c r="E56" s="3"/>
      <c r="G56" s="1"/>
      <c r="H56" s="1"/>
      <c r="I56" s="10"/>
      <c r="J56" s="10"/>
      <c r="K56" s="7"/>
      <c r="L56" s="7"/>
      <c r="M56" s="7"/>
      <c r="S56" s="8"/>
      <c r="T56" s="7"/>
      <c r="U56" s="7"/>
      <c r="V56" s="7"/>
      <c r="W56" s="8"/>
      <c r="X56" s="8"/>
      <c r="Y56" s="8"/>
      <c r="Z56" s="8"/>
      <c r="AA56" s="8"/>
    </row>
    <row r="57" spans="5:27" x14ac:dyDescent="0.2">
      <c r="E57" s="3"/>
      <c r="G57" s="1"/>
      <c r="H57" s="1"/>
      <c r="I57" s="10"/>
      <c r="J57" s="10"/>
      <c r="K57" s="7"/>
      <c r="L57" s="7"/>
      <c r="M57" s="7"/>
      <c r="S57" s="8"/>
      <c r="T57" s="7"/>
      <c r="U57" s="7"/>
      <c r="V57" s="7"/>
      <c r="W57" s="8"/>
      <c r="X57" s="8"/>
      <c r="Y57" s="8"/>
      <c r="Z57" s="8"/>
      <c r="AA57" s="8"/>
    </row>
    <row r="58" spans="5:27" x14ac:dyDescent="0.2">
      <c r="E58" s="3"/>
      <c r="G58" s="1"/>
      <c r="H58" s="1"/>
      <c r="K58" s="7"/>
      <c r="L58" s="7"/>
      <c r="M58" s="7"/>
      <c r="S58" s="8"/>
      <c r="T58" s="7"/>
      <c r="U58" s="7"/>
      <c r="V58" s="7"/>
      <c r="W58" s="8"/>
      <c r="X58" s="8"/>
      <c r="Y58" s="8"/>
      <c r="Z58" s="8"/>
      <c r="AA58" s="8"/>
    </row>
    <row r="59" spans="5:27" x14ac:dyDescent="0.2">
      <c r="E59" s="3"/>
      <c r="K59" s="7"/>
      <c r="L59" s="7"/>
      <c r="M59" s="7"/>
      <c r="S59" s="8"/>
      <c r="T59" s="7"/>
      <c r="U59" s="7"/>
      <c r="V59" s="7"/>
      <c r="W59" s="8"/>
      <c r="X59" s="8"/>
      <c r="Y59" s="8"/>
      <c r="Z59" s="8"/>
      <c r="AA59" s="8"/>
    </row>
    <row r="60" spans="5:27" x14ac:dyDescent="0.2">
      <c r="E60" s="3"/>
      <c r="K60" s="7"/>
      <c r="L60" s="7"/>
      <c r="M60" s="7"/>
      <c r="S60" s="8"/>
      <c r="T60" s="7"/>
      <c r="U60" s="7"/>
      <c r="V60" s="7"/>
      <c r="W60" s="8"/>
      <c r="X60" s="8"/>
      <c r="Y60" s="8"/>
      <c r="Z60" s="8"/>
      <c r="AA60" s="8"/>
    </row>
    <row r="61" spans="5:27" x14ac:dyDescent="0.2">
      <c r="E61" s="3"/>
      <c r="K61" s="7"/>
      <c r="L61" s="7"/>
      <c r="M61" s="7"/>
      <c r="S61" s="8"/>
      <c r="T61" s="7"/>
      <c r="U61" s="7"/>
      <c r="V61" s="7"/>
      <c r="W61" s="8"/>
      <c r="X61" s="8"/>
      <c r="Y61" s="8"/>
      <c r="Z61" s="8"/>
      <c r="AA61" s="8"/>
    </row>
    <row r="62" spans="5:27" x14ac:dyDescent="0.2">
      <c r="E62" s="3"/>
      <c r="K62" s="7"/>
      <c r="L62" s="7"/>
      <c r="M62" s="7"/>
      <c r="S62" s="8"/>
      <c r="T62" s="8"/>
      <c r="U62" s="8"/>
      <c r="V62" s="8"/>
      <c r="W62" s="8"/>
      <c r="X62" s="8"/>
      <c r="Y62" s="8"/>
      <c r="Z62" s="8"/>
      <c r="AA62" s="8"/>
    </row>
    <row r="63" spans="5:27" x14ac:dyDescent="0.2">
      <c r="E63" s="3"/>
      <c r="K63" s="7"/>
      <c r="L63" s="7"/>
      <c r="M63" s="7"/>
      <c r="S63" s="8"/>
      <c r="T63" s="8"/>
      <c r="U63" s="8"/>
      <c r="V63" s="8"/>
      <c r="W63" s="8"/>
      <c r="X63" s="8"/>
      <c r="Y63" s="8"/>
      <c r="Z63" s="8"/>
      <c r="AA63" s="8"/>
    </row>
    <row r="64" spans="5:27" x14ac:dyDescent="0.2">
      <c r="E64" s="3"/>
      <c r="K64" s="7"/>
      <c r="L64" s="7"/>
      <c r="M64" s="7"/>
      <c r="S64" s="8"/>
      <c r="T64" s="8"/>
      <c r="U64" s="8"/>
      <c r="V64" s="8"/>
      <c r="W64" s="8"/>
      <c r="X64" s="8"/>
      <c r="Y64" s="8"/>
      <c r="Z64" s="8"/>
      <c r="AA64" s="8"/>
    </row>
    <row r="65" spans="5:27" x14ac:dyDescent="0.2">
      <c r="E65" s="3"/>
      <c r="K65" s="7"/>
      <c r="L65" s="7"/>
      <c r="M65" s="7"/>
      <c r="S65" s="8"/>
      <c r="T65" s="8"/>
      <c r="U65" s="8"/>
      <c r="V65" s="8"/>
      <c r="W65" s="8"/>
      <c r="X65" s="8"/>
      <c r="Y65" s="8"/>
      <c r="Z65" s="8"/>
      <c r="AA65" s="8"/>
    </row>
    <row r="66" spans="5:27" x14ac:dyDescent="0.2">
      <c r="E66" s="3"/>
      <c r="K66" s="7"/>
      <c r="L66" s="7"/>
      <c r="M66" s="7"/>
      <c r="S66" s="8"/>
      <c r="T66" s="8"/>
      <c r="U66" s="8"/>
      <c r="V66" s="8"/>
      <c r="W66" s="8"/>
      <c r="X66" s="8"/>
      <c r="Y66" s="8"/>
      <c r="Z66" s="8"/>
      <c r="AA66" s="8"/>
    </row>
    <row r="67" spans="5:27" x14ac:dyDescent="0.2">
      <c r="E67" s="3"/>
      <c r="K67" s="7"/>
      <c r="L67" s="7"/>
      <c r="M67" s="7"/>
      <c r="S67" s="8"/>
      <c r="T67" s="8"/>
      <c r="U67" s="8"/>
      <c r="V67" s="8"/>
      <c r="W67" s="8"/>
      <c r="X67" s="8"/>
      <c r="Y67" s="8"/>
      <c r="Z67" s="8"/>
      <c r="AA67" s="8"/>
    </row>
    <row r="68" spans="5:27" x14ac:dyDescent="0.2">
      <c r="E68" s="3"/>
      <c r="K68" s="7"/>
      <c r="L68" s="7"/>
      <c r="M68" s="7"/>
      <c r="S68" s="8"/>
      <c r="T68" s="8"/>
      <c r="U68" s="8"/>
      <c r="V68" s="8"/>
      <c r="W68" s="8"/>
      <c r="X68" s="8"/>
      <c r="Y68" s="8"/>
      <c r="Z68" s="8"/>
      <c r="AA68" s="8"/>
    </row>
    <row r="69" spans="5:27" x14ac:dyDescent="0.2">
      <c r="E69" s="3"/>
      <c r="K69" s="7"/>
      <c r="L69" s="7"/>
      <c r="M69" s="7"/>
      <c r="S69" s="8"/>
      <c r="T69" s="8"/>
      <c r="U69" s="8"/>
      <c r="V69" s="8"/>
      <c r="W69" s="8"/>
      <c r="X69" s="8"/>
      <c r="Y69" s="8"/>
      <c r="Z69" s="8"/>
      <c r="AA69" s="8"/>
    </row>
    <row r="70" spans="5:27" x14ac:dyDescent="0.2">
      <c r="E70" s="3"/>
      <c r="K70" s="7"/>
      <c r="L70" s="7"/>
      <c r="M70" s="7"/>
      <c r="S70" s="8"/>
      <c r="T70" s="8"/>
      <c r="U70" s="8"/>
      <c r="V70" s="8"/>
      <c r="W70" s="8"/>
      <c r="X70" s="8"/>
      <c r="Y70" s="8"/>
      <c r="Z70" s="8"/>
      <c r="AA70" s="8"/>
    </row>
    <row r="71" spans="5:27" x14ac:dyDescent="0.2">
      <c r="E71" s="3"/>
      <c r="K71" s="7"/>
      <c r="L71" s="7"/>
      <c r="M71" s="7"/>
      <c r="S71" s="8"/>
      <c r="T71" s="8"/>
      <c r="U71" s="8"/>
      <c r="V71" s="8"/>
      <c r="W71" s="8"/>
      <c r="X71" s="8"/>
      <c r="Y71" s="8"/>
      <c r="Z71" s="8"/>
      <c r="AA71" s="8"/>
    </row>
    <row r="72" spans="5:27" x14ac:dyDescent="0.2">
      <c r="E72" s="3"/>
      <c r="K72" s="7"/>
      <c r="L72" s="7"/>
      <c r="M72" s="7"/>
      <c r="S72" s="8"/>
      <c r="T72" s="8"/>
      <c r="U72" s="8"/>
      <c r="V72" s="8"/>
      <c r="W72" s="8"/>
      <c r="X72" s="8"/>
      <c r="Y72" s="8"/>
      <c r="Z72" s="8"/>
      <c r="AA72" s="8"/>
    </row>
    <row r="73" spans="5:27" x14ac:dyDescent="0.2">
      <c r="E73" s="3"/>
      <c r="K73" s="7"/>
      <c r="L73" s="7"/>
      <c r="M73" s="7"/>
      <c r="S73" s="8"/>
      <c r="T73" s="8"/>
      <c r="U73" s="8"/>
      <c r="V73" s="8"/>
      <c r="W73" s="8"/>
      <c r="X73" s="8"/>
      <c r="Y73" s="8"/>
      <c r="Z73" s="8"/>
      <c r="AA73" s="8"/>
    </row>
    <row r="74" spans="5:27" x14ac:dyDescent="0.2">
      <c r="E74" s="3"/>
      <c r="K74" s="7"/>
      <c r="L74" s="7"/>
      <c r="M74" s="7"/>
      <c r="S74" s="8"/>
      <c r="T74" s="8"/>
      <c r="U74" s="8"/>
      <c r="V74" s="8"/>
      <c r="W74" s="8"/>
      <c r="X74" s="8"/>
      <c r="Y74" s="8"/>
      <c r="Z74" s="8"/>
      <c r="AA74" s="8"/>
    </row>
    <row r="75" spans="5:27" x14ac:dyDescent="0.2">
      <c r="E75" s="3"/>
      <c r="K75" s="7"/>
      <c r="L75" s="7"/>
      <c r="M75" s="7"/>
      <c r="S75" s="8"/>
      <c r="T75" s="8"/>
      <c r="U75" s="8"/>
      <c r="V75" s="8"/>
      <c r="W75" s="8"/>
      <c r="X75" s="8"/>
      <c r="Y75" s="8"/>
      <c r="Z75" s="8"/>
      <c r="AA75" s="8"/>
    </row>
    <row r="76" spans="5:27" x14ac:dyDescent="0.2">
      <c r="E76" s="3"/>
      <c r="K76" s="7"/>
      <c r="L76" s="7"/>
      <c r="M76" s="7"/>
      <c r="S76" s="8"/>
      <c r="T76" s="8"/>
      <c r="U76" s="8"/>
      <c r="V76" s="8"/>
      <c r="W76" s="8"/>
      <c r="X76" s="8"/>
      <c r="Y76" s="8"/>
      <c r="Z76" s="8"/>
      <c r="AA76" s="8"/>
    </row>
    <row r="77" spans="5:27" x14ac:dyDescent="0.2">
      <c r="E77" s="3"/>
      <c r="K77" s="7"/>
      <c r="L77" s="7"/>
      <c r="M77" s="7"/>
      <c r="S77" s="8"/>
      <c r="T77" s="8"/>
      <c r="U77" s="8"/>
      <c r="V77" s="8"/>
      <c r="W77" s="8"/>
      <c r="X77" s="8"/>
      <c r="Y77" s="8"/>
      <c r="Z77" s="8"/>
      <c r="AA77" s="8"/>
    </row>
    <row r="78" spans="5:27" x14ac:dyDescent="0.2">
      <c r="E78" s="3"/>
      <c r="K78" s="7"/>
      <c r="L78" s="7"/>
      <c r="M78" s="7"/>
      <c r="S78" s="8"/>
      <c r="T78" s="8"/>
      <c r="U78" s="8"/>
      <c r="V78" s="8"/>
      <c r="W78" s="8"/>
      <c r="X78" s="8"/>
      <c r="Y78" s="8"/>
      <c r="Z78" s="8"/>
      <c r="AA78" s="8"/>
    </row>
    <row r="79" spans="5:27" x14ac:dyDescent="0.2">
      <c r="E79" s="3"/>
      <c r="K79" s="7"/>
      <c r="L79" s="7"/>
      <c r="M79" s="7"/>
      <c r="S79" s="8"/>
      <c r="T79" s="8"/>
      <c r="U79" s="8"/>
      <c r="V79" s="8"/>
      <c r="W79" s="8"/>
      <c r="X79" s="8"/>
      <c r="Y79" s="8"/>
      <c r="Z79" s="8"/>
      <c r="AA79" s="8"/>
    </row>
    <row r="80" spans="5:27" x14ac:dyDescent="0.2">
      <c r="E80" s="3"/>
      <c r="K80" s="7"/>
      <c r="L80" s="7"/>
      <c r="M80" s="7"/>
      <c r="S80" s="8"/>
      <c r="T80" s="8"/>
      <c r="U80" s="8"/>
      <c r="V80" s="8"/>
      <c r="W80" s="8"/>
      <c r="X80" s="8"/>
      <c r="Y80" s="8"/>
      <c r="Z80" s="8"/>
      <c r="AA80" s="8"/>
    </row>
    <row r="81" spans="5:27" x14ac:dyDescent="0.2">
      <c r="E81" s="3"/>
      <c r="K81" s="7"/>
      <c r="L81" s="7"/>
      <c r="M81" s="7"/>
      <c r="S81" s="8"/>
      <c r="T81" s="8"/>
      <c r="U81" s="8"/>
      <c r="V81" s="8"/>
      <c r="W81" s="8"/>
      <c r="X81" s="8"/>
      <c r="Y81" s="8"/>
      <c r="Z81" s="8"/>
      <c r="AA81" s="8"/>
    </row>
    <row r="82" spans="5:27" x14ac:dyDescent="0.2">
      <c r="E82" s="3"/>
      <c r="K82" s="7"/>
      <c r="L82" s="7"/>
      <c r="M82" s="7"/>
      <c r="S82" s="8"/>
      <c r="T82" s="8"/>
      <c r="U82" s="8"/>
      <c r="V82" s="8"/>
      <c r="W82" s="8"/>
      <c r="X82" s="8"/>
      <c r="Y82" s="8"/>
      <c r="Z82" s="8"/>
      <c r="AA82" s="8"/>
    </row>
    <row r="83" spans="5:27" x14ac:dyDescent="0.2">
      <c r="E83" s="3"/>
      <c r="K83" s="7"/>
      <c r="L83" s="7"/>
      <c r="M83" s="7"/>
      <c r="S83" s="8"/>
      <c r="T83" s="8"/>
      <c r="U83" s="8"/>
      <c r="V83" s="8"/>
      <c r="W83" s="8"/>
      <c r="X83" s="8"/>
      <c r="Y83" s="8"/>
      <c r="Z83" s="8"/>
      <c r="AA83" s="8"/>
    </row>
    <row r="84" spans="5:27" x14ac:dyDescent="0.2">
      <c r="E84" s="3"/>
      <c r="K84" s="7"/>
      <c r="L84" s="7"/>
      <c r="M84" s="7"/>
      <c r="S84" s="8"/>
      <c r="T84" s="8"/>
      <c r="U84" s="8"/>
      <c r="V84" s="8"/>
      <c r="W84" s="8"/>
      <c r="X84" s="8"/>
      <c r="Y84" s="8"/>
      <c r="Z84" s="8"/>
      <c r="AA84" s="8"/>
    </row>
    <row r="85" spans="5:27" x14ac:dyDescent="0.2">
      <c r="E85" s="3"/>
      <c r="K85" s="7"/>
      <c r="L85" s="7"/>
      <c r="M85" s="7"/>
      <c r="S85" s="8"/>
      <c r="T85" s="8"/>
      <c r="U85" s="8"/>
      <c r="V85" s="8"/>
      <c r="W85" s="8"/>
      <c r="X85" s="8"/>
      <c r="Y85" s="8"/>
      <c r="Z85" s="8"/>
      <c r="AA85" s="8"/>
    </row>
    <row r="86" spans="5:27" x14ac:dyDescent="0.2">
      <c r="E86" s="3"/>
      <c r="K86" s="7"/>
      <c r="L86" s="7"/>
      <c r="M86" s="7"/>
      <c r="S86" s="8"/>
      <c r="T86" s="8"/>
      <c r="U86" s="8"/>
      <c r="V86" s="8"/>
      <c r="W86" s="8"/>
      <c r="X86" s="8"/>
      <c r="Y86" s="8"/>
      <c r="Z86" s="8"/>
      <c r="AA86" s="8"/>
    </row>
    <row r="87" spans="5:27" x14ac:dyDescent="0.2">
      <c r="E87" s="3"/>
      <c r="K87" s="7"/>
      <c r="L87" s="7"/>
      <c r="M87" s="7"/>
      <c r="S87" s="8"/>
      <c r="T87" s="8"/>
      <c r="U87" s="8"/>
      <c r="V87" s="8"/>
      <c r="W87" s="8"/>
      <c r="X87" s="8"/>
      <c r="Y87" s="8"/>
      <c r="Z87" s="8"/>
      <c r="AA87" s="8"/>
    </row>
    <row r="88" spans="5:27" x14ac:dyDescent="0.2">
      <c r="E88" s="3"/>
      <c r="K88" s="7"/>
      <c r="L88" s="7"/>
      <c r="M88" s="7"/>
      <c r="S88" s="8"/>
      <c r="T88" s="8"/>
      <c r="U88" s="8"/>
      <c r="V88" s="8"/>
      <c r="W88" s="8"/>
      <c r="X88" s="8"/>
      <c r="Y88" s="8"/>
      <c r="Z88" s="8"/>
      <c r="AA88" s="8"/>
    </row>
    <row r="89" spans="5:27" x14ac:dyDescent="0.2">
      <c r="E89" s="3"/>
      <c r="K89" s="7"/>
      <c r="L89" s="7"/>
      <c r="M89" s="7"/>
      <c r="S89" s="8"/>
      <c r="T89" s="8"/>
      <c r="U89" s="8"/>
      <c r="V89" s="8"/>
      <c r="W89" s="8"/>
      <c r="X89" s="8"/>
      <c r="Y89" s="8"/>
      <c r="Z89" s="8"/>
      <c r="AA89" s="8"/>
    </row>
    <row r="90" spans="5:27" x14ac:dyDescent="0.2">
      <c r="E90" s="3"/>
      <c r="K90" s="7"/>
      <c r="L90" s="7"/>
      <c r="M90" s="7"/>
      <c r="S90" s="8"/>
      <c r="T90" s="8"/>
      <c r="U90" s="8"/>
      <c r="V90" s="8"/>
      <c r="W90" s="8"/>
      <c r="X90" s="8"/>
      <c r="Y90" s="8"/>
      <c r="Z90" s="8"/>
      <c r="AA90" s="8"/>
    </row>
    <row r="91" spans="5:27" x14ac:dyDescent="0.2">
      <c r="E91" s="3"/>
      <c r="K91" s="7"/>
      <c r="L91" s="7"/>
      <c r="M91" s="7"/>
      <c r="S91" s="8"/>
      <c r="T91" s="8"/>
      <c r="U91" s="8"/>
      <c r="V91" s="8"/>
      <c r="W91" s="8"/>
      <c r="X91" s="8"/>
      <c r="Y91" s="8"/>
      <c r="Z91" s="8"/>
      <c r="AA91" s="8"/>
    </row>
    <row r="92" spans="5:27" x14ac:dyDescent="0.2">
      <c r="E92" s="3"/>
      <c r="K92" s="7"/>
      <c r="L92" s="7"/>
      <c r="M92" s="7"/>
      <c r="S92" s="8"/>
      <c r="T92" s="8"/>
      <c r="U92" s="8"/>
      <c r="V92" s="8"/>
      <c r="W92" s="8"/>
      <c r="X92" s="8"/>
      <c r="Y92" s="8"/>
      <c r="Z92" s="8"/>
      <c r="AA92" s="8"/>
    </row>
    <row r="93" spans="5:27" x14ac:dyDescent="0.2">
      <c r="E93" s="3"/>
      <c r="K93" s="7"/>
      <c r="L93" s="7"/>
      <c r="M93" s="7"/>
      <c r="S93" s="8"/>
      <c r="T93" s="8"/>
      <c r="U93" s="8"/>
      <c r="V93" s="8"/>
      <c r="W93" s="8"/>
      <c r="X93" s="8"/>
      <c r="Y93" s="8"/>
      <c r="Z93" s="8"/>
      <c r="AA93" s="8"/>
    </row>
    <row r="94" spans="5:27" x14ac:dyDescent="0.2">
      <c r="E94" s="3"/>
      <c r="K94" s="7"/>
      <c r="L94" s="7"/>
      <c r="M94" s="7"/>
      <c r="S94" s="8"/>
      <c r="T94" s="8"/>
      <c r="U94" s="8"/>
      <c r="V94" s="8"/>
      <c r="W94" s="8"/>
      <c r="X94" s="8"/>
      <c r="Y94" s="8"/>
      <c r="Z94" s="8"/>
      <c r="AA94" s="8"/>
    </row>
    <row r="95" spans="5:27" x14ac:dyDescent="0.2">
      <c r="E95" s="3"/>
    </row>
  </sheetData>
  <mergeCells count="1">
    <mergeCell ref="S15:W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Mata, Oscar</dc:creator>
  <cp:lastModifiedBy>Enrique Jose Araiza Lacayo - Alumno</cp:lastModifiedBy>
  <dcterms:created xsi:type="dcterms:W3CDTF">2025-11-11T17:26:50Z</dcterms:created>
  <dcterms:modified xsi:type="dcterms:W3CDTF">2025-11-21T04:45:24Z</dcterms:modified>
</cp:coreProperties>
</file>